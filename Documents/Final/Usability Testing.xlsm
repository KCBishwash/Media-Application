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29" codeName="{54D0D2CB-4C12-4D6E-6EDF-ACB5E8E520A3}"/>
  <workbookPr codeName="ThisWorkbook"/>
  <mc:AlternateContent xmlns:mc="http://schemas.openxmlformats.org/markup-compatibility/2006">
    <mc:Choice Requires="x15">
      <x15ac:absPath xmlns:x15ac="http://schemas.microsoft.com/office/spreadsheetml/2010/11/ac" url="H:\2019Sem1\Media\BishwashKC-BCIT254_FinalProject\Documents\Final\"/>
    </mc:Choice>
  </mc:AlternateContent>
  <xr:revisionPtr revIDLastSave="0" documentId="13_ncr:1_{CB8FD436-6658-4688-99F6-D740B9F4EBC6}" xr6:coauthVersionLast="43" xr6:coauthVersionMax="43" xr10:uidLastSave="{00000000-0000-0000-0000-000000000000}"/>
  <bookViews>
    <workbookView xWindow="-120" yWindow="-120" windowWidth="29040" windowHeight="15990" xr2:uid="{00000000-000D-0000-FFFF-FFFF00000000}"/>
  </bookViews>
  <sheets>
    <sheet name="usability testing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Q12" i="1" l="1"/>
  <c r="R11" i="1"/>
  <c r="R12" i="1"/>
  <c r="R13" i="1"/>
  <c r="R15" i="1"/>
  <c r="R16" i="1"/>
  <c r="R18" i="1"/>
  <c r="R19" i="1"/>
  <c r="R20" i="1"/>
  <c r="R21" i="1"/>
  <c r="R23" i="1"/>
  <c r="R24" i="1"/>
  <c r="R25" i="1"/>
  <c r="R27" i="1"/>
  <c r="R28" i="1"/>
  <c r="R10" i="1"/>
  <c r="Q11" i="1"/>
  <c r="Q13" i="1"/>
  <c r="Q15" i="1"/>
  <c r="Q16" i="1"/>
  <c r="Q18" i="1"/>
  <c r="Q19" i="1"/>
  <c r="Q20" i="1"/>
  <c r="Q21" i="1"/>
  <c r="Q23" i="1"/>
  <c r="Q24" i="1"/>
  <c r="Q25" i="1"/>
  <c r="Q27" i="1"/>
  <c r="Q28" i="1"/>
  <c r="Q10" i="1"/>
  <c r="P28" i="1"/>
  <c r="P11" i="1"/>
  <c r="P12" i="1"/>
  <c r="P13" i="1"/>
  <c r="P15" i="1"/>
  <c r="P16" i="1"/>
  <c r="P18" i="1"/>
  <c r="P19" i="1"/>
  <c r="P20" i="1"/>
  <c r="P21" i="1"/>
  <c r="P23" i="1"/>
  <c r="P24" i="1"/>
  <c r="P25" i="1"/>
  <c r="P27" i="1"/>
  <c r="P10" i="1"/>
  <c r="O11" i="1"/>
  <c r="O12" i="1"/>
  <c r="O13" i="1"/>
  <c r="O15" i="1"/>
  <c r="O16" i="1"/>
  <c r="O18" i="1"/>
  <c r="O19" i="1"/>
  <c r="O20" i="1"/>
  <c r="O21" i="1"/>
  <c r="O23" i="1"/>
  <c r="O24" i="1"/>
  <c r="O25" i="1"/>
  <c r="O27" i="1"/>
  <c r="O28" i="1"/>
  <c r="O10" i="1"/>
  <c r="N11" i="1"/>
  <c r="N12" i="1"/>
  <c r="N13" i="1"/>
  <c r="N15" i="1"/>
  <c r="E32" i="1" s="1"/>
  <c r="N16" i="1"/>
  <c r="N18" i="1"/>
  <c r="N19" i="1"/>
  <c r="N20" i="1"/>
  <c r="N21" i="1"/>
  <c r="N23" i="1"/>
  <c r="N24" i="1"/>
  <c r="N25" i="1"/>
  <c r="N27" i="1"/>
  <c r="N28" i="1"/>
  <c r="N10" i="1"/>
  <c r="E34" i="1" l="1"/>
  <c r="E35" i="1"/>
  <c r="E33" i="1"/>
  <c r="E31" i="1"/>
  <c r="E37" i="1" l="1"/>
</calcChain>
</file>

<file path=xl/sharedStrings.xml><?xml version="1.0" encoding="utf-8"?>
<sst xmlns="http://schemas.openxmlformats.org/spreadsheetml/2006/main" count="80" uniqueCount="57">
  <si>
    <t>Learnability</t>
  </si>
  <si>
    <t>Efficiency</t>
  </si>
  <si>
    <t>Memorability</t>
  </si>
  <si>
    <t>Errors</t>
  </si>
  <si>
    <t>Satisfaction</t>
  </si>
  <si>
    <t>Strongly disagree</t>
  </si>
  <si>
    <t>Agree</t>
  </si>
  <si>
    <t>Neutral</t>
  </si>
  <si>
    <t>Disagree</t>
  </si>
  <si>
    <t>Strongly Agree</t>
  </si>
  <si>
    <t>The layout is easy to use</t>
  </si>
  <si>
    <t>The button names make sense</t>
  </si>
  <si>
    <t>I did not need help to use the application/website</t>
  </si>
  <si>
    <t>It is easy to remember the buttons and functions</t>
  </si>
  <si>
    <t>I did not need help to re-learn any features</t>
  </si>
  <si>
    <t>User's Name:</t>
  </si>
  <si>
    <t>Beginner</t>
  </si>
  <si>
    <t>Intermediate</t>
  </si>
  <si>
    <t>Advanced</t>
  </si>
  <si>
    <t>Expert</t>
  </si>
  <si>
    <t>New</t>
  </si>
  <si>
    <t>Frequency of use:</t>
  </si>
  <si>
    <t>Daily</t>
  </si>
  <si>
    <t xml:space="preserve">Weekly </t>
  </si>
  <si>
    <t>Monthly</t>
  </si>
  <si>
    <t>Annually</t>
  </si>
  <si>
    <t>It is easy to remember the interface layout</t>
  </si>
  <si>
    <t>Once</t>
  </si>
  <si>
    <t>The application/website is simple</t>
  </si>
  <si>
    <t>You recommend this application to others</t>
  </si>
  <si>
    <t>Comment</t>
  </si>
  <si>
    <t>Date:</t>
  </si>
  <si>
    <t>Age:</t>
  </si>
  <si>
    <t>50+</t>
  </si>
  <si>
    <t>Question</t>
  </si>
  <si>
    <t>Principle</t>
  </si>
  <si>
    <t>IT Skill Level:</t>
  </si>
  <si>
    <t>Usability Measurement Form</t>
  </si>
  <si>
    <t>Learnability Rating:</t>
  </si>
  <si>
    <t>Efficiency Rating:</t>
  </si>
  <si>
    <t>Memorability Rating:</t>
  </si>
  <si>
    <t>Error Rating:</t>
  </si>
  <si>
    <t>Satisfaction Rating:</t>
  </si>
  <si>
    <t>P</t>
  </si>
  <si>
    <t>Overall Avearge Rating:</t>
  </si>
  <si>
    <t>Website Name:</t>
  </si>
  <si>
    <t>The website is easy to learn</t>
  </si>
  <si>
    <t>The website is quick to use</t>
  </si>
  <si>
    <t>The website does everything as intended</t>
  </si>
  <si>
    <t>The website had many errors occur</t>
  </si>
  <si>
    <t>The website explained the errors that occurred</t>
  </si>
  <si>
    <t>The website handled errors well</t>
  </si>
  <si>
    <t>The website was enjoyable to use</t>
  </si>
  <si>
    <t>Experience Nepal</t>
  </si>
  <si>
    <t>18-30</t>
  </si>
  <si>
    <t>30-50</t>
  </si>
  <si>
    <t>Ashish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</si>
</sst>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1"/>
      <name val="Calibri"/>
      <family val="2"/>
      <scheme val="minor"/>
    </font>
    <font>
      <sz val="11"/>
      <color theme="1"/>
      <name val="Wingdings 2"/>
      <family val="1"/>
      <charset val="2"/>
    </font>
    <font>
      <sz val="28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61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E56D0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E20000"/>
        <bgColor indexed="64"/>
      </patternFill>
    </fill>
    <fill>
      <patternFill patternType="solid">
        <fgColor rgb="FFC6EFCE"/>
      </patternFill>
    </fill>
  </fills>
  <borders count="6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theme="2" tint="-0.24994659260841701"/>
      </bottom>
      <diagonal/>
    </border>
    <border>
      <left/>
      <right/>
      <top style="medium">
        <color indexed="64"/>
      </top>
      <bottom style="thin">
        <color theme="2" tint="-0.24994659260841701"/>
      </bottom>
      <diagonal/>
    </border>
    <border>
      <left/>
      <right style="medium">
        <color indexed="64"/>
      </right>
      <top style="medium">
        <color indexed="64"/>
      </top>
      <bottom style="thin">
        <color theme="2" tint="-0.24994659260841701"/>
      </bottom>
      <diagonal/>
    </border>
    <border>
      <left style="medium">
        <color indexed="64"/>
      </left>
      <right style="thin">
        <color indexed="64"/>
      </right>
      <top style="thin">
        <color theme="2" tint="-0.24994659260841701"/>
      </top>
      <bottom style="thin">
        <color theme="2" tint="-0.24994659260841701"/>
      </bottom>
      <diagonal/>
    </border>
    <border>
      <left/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 style="medium">
        <color indexed="64"/>
      </right>
      <top style="thin">
        <color theme="2" tint="-0.24994659260841701"/>
      </top>
      <bottom style="thin">
        <color theme="2" tint="-0.24994659260841701"/>
      </bottom>
      <diagonal/>
    </border>
    <border>
      <left style="medium">
        <color indexed="64"/>
      </left>
      <right style="thin">
        <color indexed="64"/>
      </right>
      <top style="thin">
        <color theme="2" tint="-0.24994659260841701"/>
      </top>
      <bottom style="medium">
        <color indexed="64"/>
      </bottom>
      <diagonal/>
    </border>
    <border>
      <left style="thin">
        <color indexed="64"/>
      </left>
      <right style="thin">
        <color theme="0" tint="-0.499984740745262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0" tint="-0.499984740745262"/>
      </left>
      <right style="medium">
        <color indexed="64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indexed="64"/>
      </left>
      <right style="thin">
        <color theme="0" tint="-0.499984740745262"/>
      </right>
      <top style="thin">
        <color theme="2" tint="-0.24994659260841701"/>
      </top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2" tint="-0.24994659260841701"/>
      </top>
      <bottom style="medium">
        <color indexed="64"/>
      </bottom>
      <diagonal/>
    </border>
    <border>
      <left style="thin">
        <color theme="0" tint="-0.499984740745262"/>
      </left>
      <right style="medium">
        <color indexed="64"/>
      </right>
      <top style="thin">
        <color theme="2" tint="-0.2499465926084170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indexed="64"/>
      </left>
      <right style="thin">
        <color theme="0" tint="-0.499984740745262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499984740745262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499984740745262"/>
      </right>
      <top style="thin">
        <color theme="0" tint="-0.24994659260841701"/>
      </top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2499465926084170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theme="0" tint="-0.24994659260841701"/>
      </bottom>
      <diagonal/>
    </border>
    <border>
      <left/>
      <right style="medium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medium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499984740745262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/>
      <right style="medium">
        <color indexed="64"/>
      </right>
      <top style="thin">
        <color theme="0" tint="-0.24994659260841701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499984740745262"/>
      </left>
      <right style="medium">
        <color indexed="64"/>
      </right>
      <top/>
      <bottom/>
      <diagonal/>
    </border>
    <border>
      <left style="thin">
        <color theme="0" tint="-0.499984740745262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theme="0" tint="-0.499984740745262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0" tint="-0.499984740745262"/>
      </left>
      <right/>
      <top style="thin">
        <color theme="2" tint="-0.24994659260841701"/>
      </top>
      <bottom style="thin">
        <color theme="2" tint="-0.24994659260841701"/>
      </bottom>
      <diagonal/>
    </border>
  </borders>
  <cellStyleXfs count="2">
    <xf numFmtId="0" fontId="0" fillId="0" borderId="0"/>
    <xf numFmtId="0" fontId="6" fillId="9" borderId="0" applyNumberFormat="0" applyBorder="0" applyAlignment="0" applyProtection="0"/>
  </cellStyleXfs>
  <cellXfs count="110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2" fillId="2" borderId="4" xfId="0" applyFont="1" applyFill="1" applyBorder="1"/>
    <xf numFmtId="0" fontId="0" fillId="2" borderId="38" xfId="0" applyFill="1" applyBorder="1" applyAlignment="1">
      <alignment horizontal="center"/>
    </xf>
    <xf numFmtId="0" fontId="0" fillId="2" borderId="17" xfId="0" applyFont="1" applyFill="1" applyBorder="1" applyAlignment="1">
      <alignment horizontal="center"/>
    </xf>
    <xf numFmtId="0" fontId="0" fillId="2" borderId="18" xfId="0" applyFont="1" applyFill="1" applyBorder="1" applyAlignment="1">
      <alignment horizontal="center"/>
    </xf>
    <xf numFmtId="0" fontId="0" fillId="2" borderId="20" xfId="0" applyFont="1" applyFill="1" applyBorder="1" applyAlignment="1">
      <alignment horizontal="center"/>
    </xf>
    <xf numFmtId="0" fontId="0" fillId="2" borderId="21" xfId="0" applyFont="1" applyFill="1" applyBorder="1" applyAlignment="1">
      <alignment horizontal="center"/>
    </xf>
    <xf numFmtId="0" fontId="2" fillId="3" borderId="23" xfId="0" applyFont="1" applyFill="1" applyBorder="1"/>
    <xf numFmtId="0" fontId="0" fillId="3" borderId="37" xfId="0" applyFill="1" applyBorder="1" applyAlignment="1">
      <alignment horizontal="center"/>
    </xf>
    <xf numFmtId="0" fontId="2" fillId="3" borderId="4" xfId="0" applyFont="1" applyFill="1" applyBorder="1"/>
    <xf numFmtId="0" fontId="0" fillId="3" borderId="38" xfId="0" applyFill="1" applyBorder="1" applyAlignment="1">
      <alignment horizontal="center"/>
    </xf>
    <xf numFmtId="0" fontId="2" fillId="3" borderId="25" xfId="0" applyFont="1" applyFill="1" applyBorder="1"/>
    <xf numFmtId="0" fontId="0" fillId="3" borderId="39" xfId="0" applyFill="1" applyBorder="1" applyAlignment="1">
      <alignment horizontal="center"/>
    </xf>
    <xf numFmtId="0" fontId="2" fillId="3" borderId="6" xfId="0" applyFont="1" applyFill="1" applyBorder="1"/>
    <xf numFmtId="0" fontId="0" fillId="3" borderId="40" xfId="0" applyFill="1" applyBorder="1" applyAlignment="1">
      <alignment horizontal="center"/>
    </xf>
    <xf numFmtId="0" fontId="2" fillId="3" borderId="10" xfId="0" applyFont="1" applyFill="1" applyBorder="1" applyAlignment="1">
      <alignment horizontal="right"/>
    </xf>
    <xf numFmtId="0" fontId="2" fillId="3" borderId="13" xfId="0" applyFont="1" applyFill="1" applyBorder="1" applyAlignment="1">
      <alignment horizontal="right"/>
    </xf>
    <xf numFmtId="0" fontId="2" fillId="3" borderId="16" xfId="0" applyFont="1" applyFill="1" applyBorder="1" applyAlignment="1">
      <alignment horizontal="right"/>
    </xf>
    <xf numFmtId="0" fontId="3" fillId="2" borderId="29" xfId="0" applyFont="1" applyFill="1" applyBorder="1" applyAlignment="1">
      <alignment horizontal="center"/>
    </xf>
    <xf numFmtId="0" fontId="3" fillId="2" borderId="30" xfId="0" applyFont="1" applyFill="1" applyBorder="1" applyAlignment="1">
      <alignment horizontal="center"/>
    </xf>
    <xf numFmtId="0" fontId="3" fillId="2" borderId="31" xfId="0" applyFont="1" applyFill="1" applyBorder="1" applyAlignment="1">
      <alignment horizontal="center"/>
    </xf>
    <xf numFmtId="0" fontId="3" fillId="2" borderId="32" xfId="0" applyFont="1" applyFill="1" applyBorder="1" applyAlignment="1">
      <alignment horizontal="center"/>
    </xf>
    <xf numFmtId="0" fontId="3" fillId="2" borderId="33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3" fillId="2" borderId="35" xfId="0" applyFont="1" applyFill="1" applyBorder="1" applyAlignment="1">
      <alignment horizontal="center"/>
    </xf>
    <xf numFmtId="0" fontId="3" fillId="2" borderId="36" xfId="0" applyFont="1" applyFill="1" applyBorder="1" applyAlignment="1">
      <alignment horizontal="center"/>
    </xf>
    <xf numFmtId="0" fontId="0" fillId="3" borderId="42" xfId="0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 vertical="center"/>
    </xf>
    <xf numFmtId="0" fontId="2" fillId="8" borderId="2" xfId="0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 wrapText="1"/>
    </xf>
    <xf numFmtId="0" fontId="2" fillId="6" borderId="2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2" fillId="7" borderId="7" xfId="0" applyFont="1" applyFill="1" applyBorder="1" applyAlignment="1">
      <alignment horizontal="center" vertical="center" wrapText="1"/>
    </xf>
    <xf numFmtId="0" fontId="0" fillId="2" borderId="0" xfId="0" applyFont="1" applyFill="1"/>
    <xf numFmtId="0" fontId="0" fillId="2" borderId="0" xfId="0" applyFont="1" applyFill="1" applyAlignment="1">
      <alignment horizontal="center"/>
    </xf>
    <xf numFmtId="0" fontId="0" fillId="0" borderId="0" xfId="0" applyFont="1" applyFill="1" applyAlignment="1">
      <alignment horizontal="center"/>
    </xf>
    <xf numFmtId="0" fontId="0" fillId="0" borderId="0" xfId="0" applyFont="1" applyFill="1"/>
    <xf numFmtId="0" fontId="0" fillId="0" borderId="52" xfId="0" applyFont="1" applyFill="1" applyBorder="1" applyAlignment="1">
      <alignment horizontal="center"/>
    </xf>
    <xf numFmtId="0" fontId="0" fillId="0" borderId="48" xfId="0" applyFont="1" applyFill="1" applyBorder="1" applyAlignment="1">
      <alignment horizontal="center"/>
    </xf>
    <xf numFmtId="0" fontId="0" fillId="0" borderId="49" xfId="0" applyFont="1" applyFill="1" applyBorder="1" applyAlignment="1">
      <alignment horizontal="center"/>
    </xf>
    <xf numFmtId="0" fontId="0" fillId="0" borderId="24" xfId="0" applyFont="1" applyFill="1" applyBorder="1" applyAlignment="1">
      <alignment horizontal="center"/>
    </xf>
    <xf numFmtId="0" fontId="0" fillId="0" borderId="50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8" xfId="0" applyFont="1" applyFill="1" applyBorder="1" applyAlignment="1">
      <alignment horizontal="center"/>
    </xf>
    <xf numFmtId="0" fontId="0" fillId="0" borderId="51" xfId="0" applyFont="1" applyFill="1" applyBorder="1" applyAlignment="1">
      <alignment horizontal="center"/>
    </xf>
    <xf numFmtId="0" fontId="0" fillId="0" borderId="26" xfId="0" applyFont="1" applyFill="1" applyBorder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5" fillId="2" borderId="0" xfId="0" applyFont="1" applyFill="1"/>
    <xf numFmtId="0" fontId="5" fillId="2" borderId="0" xfId="0" applyFont="1" applyFill="1" applyAlignment="1">
      <alignment horizontal="center"/>
    </xf>
    <xf numFmtId="0" fontId="2" fillId="3" borderId="3" xfId="0" applyFont="1" applyFill="1" applyBorder="1" applyAlignment="1">
      <alignment horizontal="center" vertical="center" wrapText="1"/>
    </xf>
    <xf numFmtId="2" fontId="0" fillId="3" borderId="62" xfId="0" applyNumberFormat="1" applyFont="1" applyFill="1" applyBorder="1"/>
    <xf numFmtId="2" fontId="0" fillId="3" borderId="63" xfId="0" applyNumberFormat="1" applyFont="1" applyFill="1" applyBorder="1"/>
    <xf numFmtId="2" fontId="0" fillId="2" borderId="64" xfId="0" applyNumberFormat="1" applyFont="1" applyFill="1" applyBorder="1"/>
    <xf numFmtId="2" fontId="0" fillId="3" borderId="65" xfId="0" applyNumberFormat="1" applyFont="1" applyFill="1" applyBorder="1"/>
    <xf numFmtId="0" fontId="0" fillId="2" borderId="43" xfId="0" applyFont="1" applyFill="1" applyBorder="1" applyAlignment="1">
      <alignment horizontal="center"/>
    </xf>
    <xf numFmtId="0" fontId="0" fillId="2" borderId="44" xfId="0" applyFont="1" applyFill="1" applyBorder="1" applyAlignment="1">
      <alignment horizontal="center"/>
    </xf>
    <xf numFmtId="0" fontId="0" fillId="2" borderId="45" xfId="0" applyFont="1" applyFill="1" applyBorder="1" applyAlignment="1">
      <alignment horizontal="center"/>
    </xf>
    <xf numFmtId="0" fontId="0" fillId="2" borderId="5" xfId="0" applyFont="1" applyFill="1" applyBorder="1" applyAlignment="1">
      <alignment horizontal="center"/>
    </xf>
    <xf numFmtId="0" fontId="0" fillId="2" borderId="47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0" fillId="2" borderId="52" xfId="0" applyFont="1" applyFill="1" applyBorder="1" applyAlignment="1">
      <alignment horizontal="center"/>
    </xf>
    <xf numFmtId="0" fontId="0" fillId="2" borderId="41" xfId="0" applyFill="1" applyBorder="1" applyAlignment="1">
      <alignment horizontal="left"/>
    </xf>
    <xf numFmtId="0" fontId="0" fillId="2" borderId="14" xfId="0" applyFill="1" applyBorder="1" applyAlignment="1">
      <alignment horizontal="left"/>
    </xf>
    <xf numFmtId="0" fontId="0" fillId="2" borderId="15" xfId="0" applyFill="1" applyBorder="1" applyAlignment="1">
      <alignment horizontal="left"/>
    </xf>
    <xf numFmtId="0" fontId="0" fillId="2" borderId="11" xfId="0" applyFill="1" applyBorder="1" applyAlignment="1">
      <alignment horizontal="left"/>
    </xf>
    <xf numFmtId="0" fontId="0" fillId="2" borderId="12" xfId="0" applyFill="1" applyBorder="1" applyAlignment="1">
      <alignment horizontal="left"/>
    </xf>
    <xf numFmtId="14" fontId="0" fillId="2" borderId="41" xfId="0" applyNumberFormat="1" applyFill="1" applyBorder="1" applyAlignment="1">
      <alignment horizontal="left"/>
    </xf>
    <xf numFmtId="14" fontId="0" fillId="2" borderId="14" xfId="0" applyNumberFormat="1" applyFill="1" applyBorder="1" applyAlignment="1">
      <alignment horizontal="left"/>
    </xf>
    <xf numFmtId="14" fontId="0" fillId="2" borderId="15" xfId="0" applyNumberFormat="1" applyFill="1" applyBorder="1" applyAlignment="1">
      <alignment horizontal="left"/>
    </xf>
    <xf numFmtId="0" fontId="0" fillId="2" borderId="67" xfId="0" applyFont="1" applyFill="1" applyBorder="1" applyAlignment="1">
      <alignment horizontal="center"/>
    </xf>
    <xf numFmtId="0" fontId="0" fillId="2" borderId="15" xfId="0" applyFont="1" applyFill="1" applyBorder="1" applyAlignment="1">
      <alignment horizontal="center"/>
    </xf>
    <xf numFmtId="0" fontId="0" fillId="0" borderId="54" xfId="0" applyFont="1" applyFill="1" applyBorder="1" applyAlignment="1">
      <alignment horizontal="center"/>
    </xf>
    <xf numFmtId="0" fontId="0" fillId="3" borderId="50" xfId="0" applyFill="1" applyBorder="1"/>
    <xf numFmtId="0" fontId="0" fillId="3" borderId="0" xfId="0" applyFill="1" applyBorder="1"/>
    <xf numFmtId="0" fontId="0" fillId="3" borderId="8" xfId="0" applyFill="1" applyBorder="1"/>
    <xf numFmtId="0" fontId="0" fillId="3" borderId="51" xfId="0" applyFill="1" applyBorder="1"/>
    <xf numFmtId="0" fontId="0" fillId="3" borderId="52" xfId="0" applyFill="1" applyBorder="1"/>
    <xf numFmtId="0" fontId="0" fillId="3" borderId="26" xfId="0" applyFill="1" applyBorder="1"/>
    <xf numFmtId="0" fontId="2" fillId="3" borderId="57" xfId="0" applyFont="1" applyFill="1" applyBorder="1" applyAlignment="1">
      <alignment horizontal="center" vertical="center"/>
    </xf>
    <xf numFmtId="0" fontId="2" fillId="3" borderId="56" xfId="0" applyFont="1" applyFill="1" applyBorder="1" applyAlignment="1">
      <alignment horizontal="center" vertical="center"/>
    </xf>
    <xf numFmtId="0" fontId="2" fillId="3" borderId="58" xfId="0" applyFont="1" applyFill="1" applyBorder="1" applyAlignment="1">
      <alignment horizontal="center" vertical="center"/>
    </xf>
    <xf numFmtId="0" fontId="0" fillId="3" borderId="48" xfId="0" applyFill="1" applyBorder="1"/>
    <xf numFmtId="0" fontId="0" fillId="3" borderId="49" xfId="0" applyFill="1" applyBorder="1"/>
    <xf numFmtId="0" fontId="0" fillId="3" borderId="24" xfId="0" applyFill="1" applyBorder="1"/>
    <xf numFmtId="0" fontId="4" fillId="3" borderId="0" xfId="0" applyFont="1" applyFill="1" applyAlignment="1">
      <alignment horizontal="center" vertical="center"/>
    </xf>
    <xf numFmtId="0" fontId="0" fillId="2" borderId="53" xfId="0" applyFill="1" applyBorder="1" applyAlignment="1">
      <alignment horizontal="center"/>
    </xf>
    <xf numFmtId="0" fontId="0" fillId="2" borderId="54" xfId="0" applyFill="1" applyBorder="1" applyAlignment="1">
      <alignment horizontal="center"/>
    </xf>
    <xf numFmtId="0" fontId="0" fillId="2" borderId="55" xfId="0" applyFill="1" applyBorder="1" applyAlignment="1">
      <alignment horizontal="center"/>
    </xf>
    <xf numFmtId="0" fontId="2" fillId="3" borderId="4" xfId="0" applyFont="1" applyFill="1" applyBorder="1"/>
    <xf numFmtId="0" fontId="2" fillId="3" borderId="0" xfId="0" applyFont="1" applyFill="1" applyBorder="1"/>
    <xf numFmtId="0" fontId="2" fillId="2" borderId="61" xfId="0" applyFont="1" applyFill="1" applyBorder="1"/>
    <xf numFmtId="0" fontId="2" fillId="2" borderId="54" xfId="0" applyFont="1" applyFill="1" applyBorder="1"/>
    <xf numFmtId="0" fontId="2" fillId="3" borderId="6" xfId="0" applyFont="1" applyFill="1" applyBorder="1"/>
    <xf numFmtId="0" fontId="2" fillId="3" borderId="60" xfId="0" applyFont="1" applyFill="1" applyBorder="1"/>
    <xf numFmtId="0" fontId="0" fillId="3" borderId="59" xfId="0" applyFill="1" applyBorder="1"/>
    <xf numFmtId="0" fontId="0" fillId="3" borderId="60" xfId="0" applyFill="1" applyBorder="1"/>
    <xf numFmtId="0" fontId="0" fillId="3" borderId="9" xfId="0" applyFill="1" applyBorder="1"/>
    <xf numFmtId="0" fontId="2" fillId="3" borderId="1" xfId="0" applyFont="1" applyFill="1" applyBorder="1"/>
    <xf numFmtId="0" fontId="2" fillId="3" borderId="2" xfId="0" applyFont="1" applyFill="1" applyBorder="1"/>
    <xf numFmtId="0" fontId="6" fillId="9" borderId="19" xfId="1" applyBorder="1" applyAlignment="1">
      <alignment horizontal="center"/>
    </xf>
    <xf numFmtId="0" fontId="6" fillId="9" borderId="41" xfId="1" applyBorder="1" applyAlignment="1">
      <alignment horizontal="center"/>
    </xf>
    <xf numFmtId="0" fontId="6" fillId="9" borderId="66" xfId="1" applyBorder="1" applyAlignment="1">
      <alignment horizontal="center"/>
    </xf>
    <xf numFmtId="0" fontId="6" fillId="9" borderId="22" xfId="1" applyBorder="1" applyAlignment="1">
      <alignment horizontal="center"/>
    </xf>
  </cellXfs>
  <cellStyles count="2">
    <cellStyle name="Good" xfId="1" builtinId="26"/>
    <cellStyle name="Normal" xfId="0" builtinId="0"/>
  </cellStyles>
  <dxfs count="0"/>
  <tableStyles count="0" defaultTableStyle="TableStyleMedium2" defaultPivotStyle="PivotStyleLight16"/>
  <colors>
    <mruColors>
      <color rgb="FFE20000"/>
      <color rgb="FFF8F856"/>
      <color rgb="FFE56D09"/>
      <color rgb="FFE833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145"/>
  <sheetViews>
    <sheetView tabSelected="1" workbookViewId="0">
      <selection activeCell="F37" sqref="F37"/>
    </sheetView>
  </sheetViews>
  <sheetFormatPr defaultRowHeight="15" x14ac:dyDescent="0.25"/>
  <cols>
    <col min="1" max="1" width="2.140625" style="2" customWidth="1"/>
    <col min="2" max="2" width="13.140625" bestFit="1" customWidth="1"/>
    <col min="3" max="3" width="3.28515625" style="1" customWidth="1"/>
    <col min="4" max="4" width="9.42578125" style="1" customWidth="1"/>
    <col min="5" max="5" width="7.140625" style="1" customWidth="1"/>
    <col min="6" max="6" width="34.7109375" customWidth="1"/>
    <col min="7" max="11" width="13.85546875" style="1" customWidth="1"/>
    <col min="12" max="12" width="56.28515625" customWidth="1"/>
    <col min="14" max="18" width="0" hidden="1" customWidth="1"/>
  </cols>
  <sheetData>
    <row r="1" spans="1:18" ht="45" customHeight="1" thickBot="1" x14ac:dyDescent="0.3">
      <c r="A1" s="91" t="s">
        <v>37</v>
      </c>
      <c r="B1" s="91"/>
      <c r="C1" s="91"/>
      <c r="D1" s="91"/>
      <c r="E1" s="91"/>
      <c r="F1" s="91"/>
      <c r="G1" s="91"/>
      <c r="H1" s="91"/>
      <c r="I1" s="91"/>
      <c r="J1" s="91"/>
      <c r="K1" s="91"/>
      <c r="L1" s="91"/>
    </row>
    <row r="2" spans="1:18" x14ac:dyDescent="0.25">
      <c r="B2" s="2"/>
      <c r="C2" s="3"/>
      <c r="D2" s="3"/>
      <c r="E2" s="3"/>
      <c r="F2" s="20" t="s">
        <v>45</v>
      </c>
      <c r="G2" s="71" t="s">
        <v>53</v>
      </c>
      <c r="H2" s="71"/>
      <c r="I2" s="71"/>
      <c r="J2" s="71"/>
      <c r="K2" s="72"/>
      <c r="L2" s="2"/>
    </row>
    <row r="3" spans="1:18" x14ac:dyDescent="0.25">
      <c r="B3" s="2"/>
      <c r="C3" s="3"/>
      <c r="D3" s="3"/>
      <c r="E3" s="3"/>
      <c r="F3" s="21" t="s">
        <v>15</v>
      </c>
      <c r="G3" s="68" t="s">
        <v>56</v>
      </c>
      <c r="H3" s="69"/>
      <c r="I3" s="69"/>
      <c r="J3" s="69"/>
      <c r="K3" s="70"/>
      <c r="L3" s="2"/>
    </row>
    <row r="4" spans="1:18" x14ac:dyDescent="0.25">
      <c r="B4" s="2"/>
      <c r="C4" s="3"/>
      <c r="D4" s="3"/>
      <c r="E4" s="3"/>
      <c r="F4" s="21" t="s">
        <v>31</v>
      </c>
      <c r="G4" s="73">
        <v>43620</v>
      </c>
      <c r="H4" s="74"/>
      <c r="I4" s="74"/>
      <c r="J4" s="74"/>
      <c r="K4" s="75"/>
      <c r="L4" s="2"/>
    </row>
    <row r="5" spans="1:18" x14ac:dyDescent="0.25">
      <c r="B5" s="2"/>
      <c r="C5" s="3"/>
      <c r="D5" s="3"/>
      <c r="E5" s="3"/>
      <c r="F5" s="21" t="s">
        <v>32</v>
      </c>
      <c r="G5" s="107" t="s">
        <v>54</v>
      </c>
      <c r="H5" s="108"/>
      <c r="I5" s="9" t="s">
        <v>55</v>
      </c>
      <c r="J5" s="76" t="s">
        <v>33</v>
      </c>
      <c r="K5" s="77"/>
      <c r="L5" s="2"/>
    </row>
    <row r="6" spans="1:18" x14ac:dyDescent="0.25">
      <c r="B6" s="2"/>
      <c r="C6" s="3"/>
      <c r="D6" s="3"/>
      <c r="E6" s="3"/>
      <c r="F6" s="21" t="s">
        <v>36</v>
      </c>
      <c r="G6" s="8" t="s">
        <v>20</v>
      </c>
      <c r="H6" s="9" t="s">
        <v>16</v>
      </c>
      <c r="I6" s="9" t="s">
        <v>17</v>
      </c>
      <c r="J6" s="9" t="s">
        <v>18</v>
      </c>
      <c r="K6" s="106" t="s">
        <v>19</v>
      </c>
      <c r="L6" s="2"/>
    </row>
    <row r="7" spans="1:18" ht="15.75" thickBot="1" x14ac:dyDescent="0.3">
      <c r="B7" s="2"/>
      <c r="C7" s="3"/>
      <c r="D7" s="3"/>
      <c r="E7" s="3"/>
      <c r="F7" s="22" t="s">
        <v>21</v>
      </c>
      <c r="G7" s="10" t="s">
        <v>22</v>
      </c>
      <c r="H7" s="11" t="s">
        <v>23</v>
      </c>
      <c r="I7" s="11" t="s">
        <v>24</v>
      </c>
      <c r="J7" s="11" t="s">
        <v>25</v>
      </c>
      <c r="K7" s="109" t="s">
        <v>27</v>
      </c>
      <c r="L7" s="2"/>
    </row>
    <row r="8" spans="1:18" ht="15.75" thickBot="1" x14ac:dyDescent="0.3">
      <c r="B8" s="2"/>
      <c r="C8" s="3"/>
      <c r="D8" s="3"/>
      <c r="E8" s="3"/>
      <c r="F8" s="2"/>
      <c r="G8" s="3"/>
      <c r="H8" s="3"/>
      <c r="I8" s="3"/>
      <c r="J8" s="3"/>
      <c r="K8" s="3"/>
      <c r="L8" s="2"/>
    </row>
    <row r="9" spans="1:18" ht="33.75" customHeight="1" x14ac:dyDescent="0.25">
      <c r="B9" s="33" t="s">
        <v>35</v>
      </c>
      <c r="C9" s="31"/>
      <c r="D9" s="85" t="s">
        <v>34</v>
      </c>
      <c r="E9" s="86"/>
      <c r="F9" s="87"/>
      <c r="G9" s="34" t="s">
        <v>5</v>
      </c>
      <c r="H9" s="35" t="s">
        <v>8</v>
      </c>
      <c r="I9" s="36" t="s">
        <v>7</v>
      </c>
      <c r="J9" s="37" t="s">
        <v>6</v>
      </c>
      <c r="K9" s="38" t="s">
        <v>9</v>
      </c>
      <c r="L9" s="56" t="s">
        <v>30</v>
      </c>
      <c r="N9" s="67" t="s">
        <v>0</v>
      </c>
      <c r="O9" s="67"/>
      <c r="P9" s="67"/>
      <c r="Q9" s="67"/>
      <c r="R9" s="67"/>
    </row>
    <row r="10" spans="1:18" x14ac:dyDescent="0.25">
      <c r="B10" s="12" t="s">
        <v>0</v>
      </c>
      <c r="C10" s="13">
        <v>1</v>
      </c>
      <c r="D10" s="88" t="s">
        <v>46</v>
      </c>
      <c r="E10" s="89"/>
      <c r="F10" s="90"/>
      <c r="G10" s="23"/>
      <c r="H10" s="24"/>
      <c r="I10" s="24"/>
      <c r="J10" s="24"/>
      <c r="K10" s="32" t="s">
        <v>43</v>
      </c>
      <c r="L10" s="61"/>
      <c r="N10" s="44" t="str">
        <f>IF(G10="P",1,"")</f>
        <v/>
      </c>
      <c r="O10" s="45" t="str">
        <f>IF(H10="P",2,"")</f>
        <v/>
      </c>
      <c r="P10" s="45" t="str">
        <f>IF(I10="P",3,"")</f>
        <v/>
      </c>
      <c r="Q10" s="45" t="str">
        <f>IF(J10="P",4,"")</f>
        <v/>
      </c>
      <c r="R10" s="46">
        <f>IF(K10="P",5,"")</f>
        <v>5</v>
      </c>
    </row>
    <row r="11" spans="1:18" x14ac:dyDescent="0.25">
      <c r="B11" s="14"/>
      <c r="C11" s="15">
        <v>2</v>
      </c>
      <c r="D11" s="79" t="s">
        <v>10</v>
      </c>
      <c r="E11" s="80"/>
      <c r="F11" s="81"/>
      <c r="G11" s="25"/>
      <c r="H11" s="26"/>
      <c r="I11" s="26"/>
      <c r="J11" s="26" t="s">
        <v>43</v>
      </c>
      <c r="K11" s="32"/>
      <c r="L11" s="62"/>
      <c r="N11" s="47" t="str">
        <f>IF(G11="P",1,"")</f>
        <v/>
      </c>
      <c r="O11" s="48" t="str">
        <f>IF(H11="P",2,"")</f>
        <v/>
      </c>
      <c r="P11" s="48" t="str">
        <f>IF(I11="P",3,"")</f>
        <v/>
      </c>
      <c r="Q11" s="48">
        <f>IF(J11="P",4,"")</f>
        <v>4</v>
      </c>
      <c r="R11" s="49" t="str">
        <f>IF(K11="P",5,"")</f>
        <v/>
      </c>
    </row>
    <row r="12" spans="1:18" x14ac:dyDescent="0.25">
      <c r="B12" s="14"/>
      <c r="C12" s="15">
        <v>3</v>
      </c>
      <c r="D12" s="79" t="s">
        <v>11</v>
      </c>
      <c r="E12" s="80"/>
      <c r="F12" s="81"/>
      <c r="G12" s="25"/>
      <c r="H12" s="26"/>
      <c r="I12" s="26"/>
      <c r="J12" s="26"/>
      <c r="K12" s="32" t="s">
        <v>43</v>
      </c>
      <c r="L12" s="62"/>
      <c r="N12" s="47" t="str">
        <f>IF(G12="P",1,"")</f>
        <v/>
      </c>
      <c r="O12" s="48" t="str">
        <f>IF(H12="P",2,"")</f>
        <v/>
      </c>
      <c r="P12" s="48" t="str">
        <f>IF(I12="P",3,"")</f>
        <v/>
      </c>
      <c r="Q12" s="48" t="str">
        <f>IF(J12="P",4,"")</f>
        <v/>
      </c>
      <c r="R12" s="49">
        <f>IF(K12="P",5,"")</f>
        <v>5</v>
      </c>
    </row>
    <row r="13" spans="1:18" x14ac:dyDescent="0.25">
      <c r="B13" s="16"/>
      <c r="C13" s="17">
        <v>4</v>
      </c>
      <c r="D13" s="82" t="s">
        <v>12</v>
      </c>
      <c r="E13" s="83"/>
      <c r="F13" s="84"/>
      <c r="G13" s="27"/>
      <c r="H13" s="28"/>
      <c r="I13" s="28"/>
      <c r="J13" s="28" t="s">
        <v>43</v>
      </c>
      <c r="K13" s="32"/>
      <c r="L13" s="63"/>
      <c r="N13" s="50" t="str">
        <f>IF(G13="P",1,"")</f>
        <v/>
      </c>
      <c r="O13" s="43" t="str">
        <f>IF(H13="P",2,"")</f>
        <v/>
      </c>
      <c r="P13" s="43" t="str">
        <f>IF(I13="P",3,"")</f>
        <v/>
      </c>
      <c r="Q13" s="43">
        <f>IF(J13="P",4,"")</f>
        <v>4</v>
      </c>
      <c r="R13" s="51" t="str">
        <f>IF(K13="P",5,"")</f>
        <v/>
      </c>
    </row>
    <row r="14" spans="1:18" ht="5.25" customHeight="1" x14ac:dyDescent="0.25">
      <c r="B14" s="6"/>
      <c r="C14" s="7"/>
      <c r="D14" s="92"/>
      <c r="E14" s="93"/>
      <c r="F14" s="94"/>
      <c r="G14" s="4"/>
      <c r="H14" s="5"/>
      <c r="I14" s="5"/>
      <c r="J14" s="5"/>
      <c r="K14" s="32" t="s">
        <v>43</v>
      </c>
      <c r="L14" s="64"/>
      <c r="N14" s="78" t="s">
        <v>1</v>
      </c>
      <c r="O14" s="78"/>
      <c r="P14" s="78"/>
      <c r="Q14" s="78"/>
      <c r="R14" s="78"/>
    </row>
    <row r="15" spans="1:18" x14ac:dyDescent="0.25">
      <c r="B15" s="12" t="s">
        <v>1</v>
      </c>
      <c r="C15" s="13">
        <v>1</v>
      </c>
      <c r="D15" s="88" t="s">
        <v>48</v>
      </c>
      <c r="E15" s="89"/>
      <c r="F15" s="90"/>
      <c r="G15" s="23"/>
      <c r="H15" s="24"/>
      <c r="I15" s="24"/>
      <c r="J15" s="24"/>
      <c r="K15" s="32" t="s">
        <v>43</v>
      </c>
      <c r="L15" s="61"/>
      <c r="N15" s="44" t="str">
        <f>IF(G15="P",1,"")</f>
        <v/>
      </c>
      <c r="O15" s="45" t="str">
        <f>IF(H15="P",2,"")</f>
        <v/>
      </c>
      <c r="P15" s="45" t="str">
        <f>IF(I15="P",3,"")</f>
        <v/>
      </c>
      <c r="Q15" s="45" t="str">
        <f>IF(J15="P",4,"")</f>
        <v/>
      </c>
      <c r="R15" s="46">
        <f>IF(K15="P",5,"")</f>
        <v>5</v>
      </c>
    </row>
    <row r="16" spans="1:18" x14ac:dyDescent="0.25">
      <c r="B16" s="16"/>
      <c r="C16" s="17">
        <v>2</v>
      </c>
      <c r="D16" s="82" t="s">
        <v>47</v>
      </c>
      <c r="E16" s="83"/>
      <c r="F16" s="84"/>
      <c r="G16" s="27"/>
      <c r="H16" s="28"/>
      <c r="I16" s="28"/>
      <c r="J16" s="28"/>
      <c r="K16" s="32" t="s">
        <v>43</v>
      </c>
      <c r="L16" s="63"/>
      <c r="N16" s="50" t="str">
        <f>IF(G16="P",1,"")</f>
        <v/>
      </c>
      <c r="O16" s="43" t="str">
        <f>IF(H16="P",2,"")</f>
        <v/>
      </c>
      <c r="P16" s="43" t="str">
        <f>IF(I16="P",3,"")</f>
        <v/>
      </c>
      <c r="Q16" s="43" t="str">
        <f>IF(J16="P",4,"")</f>
        <v/>
      </c>
      <c r="R16" s="51">
        <f>IF(K16="P",5,"")</f>
        <v>5</v>
      </c>
    </row>
    <row r="17" spans="2:18" ht="5.25" customHeight="1" x14ac:dyDescent="0.25">
      <c r="B17" s="6"/>
      <c r="C17" s="7"/>
      <c r="D17" s="92"/>
      <c r="E17" s="93"/>
      <c r="F17" s="94"/>
      <c r="G17" s="4"/>
      <c r="H17" s="5"/>
      <c r="I17" s="5"/>
      <c r="J17" s="5"/>
      <c r="K17" s="32" t="s">
        <v>43</v>
      </c>
      <c r="L17" s="64"/>
      <c r="N17" s="78" t="s">
        <v>2</v>
      </c>
      <c r="O17" s="78"/>
      <c r="P17" s="78"/>
      <c r="Q17" s="78"/>
      <c r="R17" s="78"/>
    </row>
    <row r="18" spans="2:18" x14ac:dyDescent="0.25">
      <c r="B18" s="12" t="s">
        <v>2</v>
      </c>
      <c r="C18" s="13">
        <v>1</v>
      </c>
      <c r="D18" s="88" t="s">
        <v>26</v>
      </c>
      <c r="E18" s="89"/>
      <c r="F18" s="90"/>
      <c r="G18" s="23"/>
      <c r="H18" s="24"/>
      <c r="I18" s="24"/>
      <c r="J18" s="24"/>
      <c r="K18" s="32" t="s">
        <v>43</v>
      </c>
      <c r="L18" s="61"/>
      <c r="N18" s="44" t="str">
        <f>IF(G18="P",1,"")</f>
        <v/>
      </c>
      <c r="O18" s="45" t="str">
        <f>IF(H18="P",2,"")</f>
        <v/>
      </c>
      <c r="P18" s="45" t="str">
        <f>IF(I18="P",3,"")</f>
        <v/>
      </c>
      <c r="Q18" s="45" t="str">
        <f>IF(J18="P",4,"")</f>
        <v/>
      </c>
      <c r="R18" s="46">
        <f>IF(K18="P",5,"")</f>
        <v>5</v>
      </c>
    </row>
    <row r="19" spans="2:18" x14ac:dyDescent="0.25">
      <c r="B19" s="14"/>
      <c r="C19" s="15">
        <v>2</v>
      </c>
      <c r="D19" s="79" t="s">
        <v>13</v>
      </c>
      <c r="E19" s="80"/>
      <c r="F19" s="81"/>
      <c r="G19" s="25"/>
      <c r="H19" s="26"/>
      <c r="I19" s="26"/>
      <c r="J19" s="26"/>
      <c r="K19" s="32" t="s">
        <v>43</v>
      </c>
      <c r="L19" s="62"/>
      <c r="N19" s="47" t="str">
        <f>IF(G19="P",1,"")</f>
        <v/>
      </c>
      <c r="O19" s="48" t="str">
        <f>IF(H19="P",2,"")</f>
        <v/>
      </c>
      <c r="P19" s="48" t="str">
        <f>IF(I19="P",3,"")</f>
        <v/>
      </c>
      <c r="Q19" s="48" t="str">
        <f>IF(J19="P",4,"")</f>
        <v/>
      </c>
      <c r="R19" s="49">
        <f>IF(K19="P",5,"")</f>
        <v>5</v>
      </c>
    </row>
    <row r="20" spans="2:18" x14ac:dyDescent="0.25">
      <c r="B20" s="14"/>
      <c r="C20" s="15">
        <v>3</v>
      </c>
      <c r="D20" s="79" t="s">
        <v>28</v>
      </c>
      <c r="E20" s="80"/>
      <c r="F20" s="81"/>
      <c r="G20" s="25"/>
      <c r="H20" s="26"/>
      <c r="I20" s="26"/>
      <c r="J20" s="26" t="s">
        <v>43</v>
      </c>
      <c r="K20" s="32"/>
      <c r="L20" s="62"/>
      <c r="N20" s="47" t="str">
        <f>IF(G20="P",1,"")</f>
        <v/>
      </c>
      <c r="O20" s="48" t="str">
        <f>IF(H20="P",2,"")</f>
        <v/>
      </c>
      <c r="P20" s="48" t="str">
        <f>IF(I20="P",3,"")</f>
        <v/>
      </c>
      <c r="Q20" s="48">
        <f>IF(J20="P",4,"")</f>
        <v>4</v>
      </c>
      <c r="R20" s="49" t="str">
        <f>IF(K20="P",5,"")</f>
        <v/>
      </c>
    </row>
    <row r="21" spans="2:18" x14ac:dyDescent="0.25">
      <c r="B21" s="16"/>
      <c r="C21" s="17">
        <v>4</v>
      </c>
      <c r="D21" s="82" t="s">
        <v>14</v>
      </c>
      <c r="E21" s="83"/>
      <c r="F21" s="84"/>
      <c r="G21" s="27"/>
      <c r="H21" s="28"/>
      <c r="I21" s="28"/>
      <c r="J21" s="28"/>
      <c r="K21" s="32" t="s">
        <v>43</v>
      </c>
      <c r="L21" s="63"/>
      <c r="N21" s="50" t="str">
        <f>IF(G21="P",1,"")</f>
        <v/>
      </c>
      <c r="O21" s="43" t="str">
        <f>IF(H21="P",2,"")</f>
        <v/>
      </c>
      <c r="P21" s="43" t="str">
        <f>IF(I21="P",3,"")</f>
        <v/>
      </c>
      <c r="Q21" s="43" t="str">
        <f>IF(J21="P",4,"")</f>
        <v/>
      </c>
      <c r="R21" s="51">
        <f>IF(K21="P",5,"")</f>
        <v>5</v>
      </c>
    </row>
    <row r="22" spans="2:18" ht="5.25" customHeight="1" x14ac:dyDescent="0.25">
      <c r="B22" s="6"/>
      <c r="C22" s="7"/>
      <c r="D22" s="92"/>
      <c r="E22" s="93"/>
      <c r="F22" s="94"/>
      <c r="G22" s="4"/>
      <c r="H22" s="5"/>
      <c r="I22" s="5"/>
      <c r="J22" s="5"/>
      <c r="K22" s="32" t="s">
        <v>43</v>
      </c>
      <c r="L22" s="64"/>
      <c r="N22" s="78" t="s">
        <v>3</v>
      </c>
      <c r="O22" s="78"/>
      <c r="P22" s="78"/>
      <c r="Q22" s="78"/>
      <c r="R22" s="78"/>
    </row>
    <row r="23" spans="2:18" x14ac:dyDescent="0.25">
      <c r="B23" s="12" t="s">
        <v>3</v>
      </c>
      <c r="C23" s="13">
        <v>1</v>
      </c>
      <c r="D23" s="88" t="s">
        <v>49</v>
      </c>
      <c r="E23" s="89"/>
      <c r="F23" s="90"/>
      <c r="G23" s="23"/>
      <c r="H23" s="24"/>
      <c r="I23" s="24"/>
      <c r="J23" s="24"/>
      <c r="K23" s="32" t="s">
        <v>43</v>
      </c>
      <c r="L23" s="61"/>
      <c r="N23" s="44" t="str">
        <f>IF(G23="P",1,"")</f>
        <v/>
      </c>
      <c r="O23" s="45" t="str">
        <f>IF(H23="P",2,"")</f>
        <v/>
      </c>
      <c r="P23" s="45" t="str">
        <f>IF(I23="P",3,"")</f>
        <v/>
      </c>
      <c r="Q23" s="45" t="str">
        <f>IF(J23="P",4,"")</f>
        <v/>
      </c>
      <c r="R23" s="46">
        <f>IF(K23="P",5,"")</f>
        <v>5</v>
      </c>
    </row>
    <row r="24" spans="2:18" x14ac:dyDescent="0.25">
      <c r="B24" s="14"/>
      <c r="C24" s="15">
        <v>2</v>
      </c>
      <c r="D24" s="79" t="s">
        <v>51</v>
      </c>
      <c r="E24" s="80"/>
      <c r="F24" s="81"/>
      <c r="G24" s="25"/>
      <c r="H24" s="26"/>
      <c r="I24" s="26"/>
      <c r="J24" s="26" t="s">
        <v>43</v>
      </c>
      <c r="K24" s="32"/>
      <c r="L24" s="62"/>
      <c r="N24" s="47" t="str">
        <f>IF(G24="P",1,"")</f>
        <v/>
      </c>
      <c r="O24" s="48" t="str">
        <f>IF(H24="P",2,"")</f>
        <v/>
      </c>
      <c r="P24" s="48" t="str">
        <f>IF(I24="P",3,"")</f>
        <v/>
      </c>
      <c r="Q24" s="48">
        <f>IF(J24="P",4,"")</f>
        <v>4</v>
      </c>
      <c r="R24" s="49" t="str">
        <f>IF(K24="P",5,"")</f>
        <v/>
      </c>
    </row>
    <row r="25" spans="2:18" x14ac:dyDescent="0.25">
      <c r="B25" s="16"/>
      <c r="C25" s="17">
        <v>3</v>
      </c>
      <c r="D25" s="82" t="s">
        <v>50</v>
      </c>
      <c r="E25" s="83"/>
      <c r="F25" s="84"/>
      <c r="G25" s="27"/>
      <c r="H25" s="28"/>
      <c r="I25" s="28"/>
      <c r="J25" s="28"/>
      <c r="K25" s="32" t="s">
        <v>43</v>
      </c>
      <c r="L25" s="63"/>
      <c r="N25" s="50" t="str">
        <f>IF(G25="P",1,"")</f>
        <v/>
      </c>
      <c r="O25" s="43" t="str">
        <f>IF(H25="P",2,"")</f>
        <v/>
      </c>
      <c r="P25" s="43" t="str">
        <f>IF(I25="P",3,"")</f>
        <v/>
      </c>
      <c r="Q25" s="43" t="str">
        <f>IF(J25="P",4,"")</f>
        <v/>
      </c>
      <c r="R25" s="51">
        <f>IF(K25="P",5,"")</f>
        <v>5</v>
      </c>
    </row>
    <row r="26" spans="2:18" ht="5.25" customHeight="1" x14ac:dyDescent="0.25">
      <c r="B26" s="6"/>
      <c r="C26" s="7"/>
      <c r="D26" s="92"/>
      <c r="E26" s="93"/>
      <c r="F26" s="94"/>
      <c r="G26" s="4"/>
      <c r="H26" s="5"/>
      <c r="I26" s="5"/>
      <c r="J26" s="5"/>
      <c r="K26" s="32" t="s">
        <v>43</v>
      </c>
      <c r="L26" s="64"/>
      <c r="N26" s="78" t="s">
        <v>4</v>
      </c>
      <c r="O26" s="78"/>
      <c r="P26" s="78"/>
      <c r="Q26" s="78"/>
      <c r="R26" s="78"/>
    </row>
    <row r="27" spans="2:18" x14ac:dyDescent="0.25">
      <c r="B27" s="12" t="s">
        <v>4</v>
      </c>
      <c r="C27" s="13">
        <v>1</v>
      </c>
      <c r="D27" s="88" t="s">
        <v>52</v>
      </c>
      <c r="E27" s="89"/>
      <c r="F27" s="90"/>
      <c r="G27" s="23"/>
      <c r="H27" s="24"/>
      <c r="I27" s="24"/>
      <c r="J27" s="24"/>
      <c r="K27" s="32" t="s">
        <v>43</v>
      </c>
      <c r="L27" s="61"/>
      <c r="N27" s="44" t="str">
        <f>IF(G27="P",1,"")</f>
        <v/>
      </c>
      <c r="O27" s="45" t="str">
        <f>IF(H27="P",2,"")</f>
        <v/>
      </c>
      <c r="P27" s="45" t="str">
        <f>IF(I27="P",3,"")</f>
        <v/>
      </c>
      <c r="Q27" s="45" t="str">
        <f>IF(J27="P",4,"")</f>
        <v/>
      </c>
      <c r="R27" s="46">
        <f>IF(K27="P",5,"")</f>
        <v>5</v>
      </c>
    </row>
    <row r="28" spans="2:18" ht="15.75" thickBot="1" x14ac:dyDescent="0.3">
      <c r="B28" s="18"/>
      <c r="C28" s="19">
        <v>2</v>
      </c>
      <c r="D28" s="101" t="s">
        <v>29</v>
      </c>
      <c r="E28" s="102"/>
      <c r="F28" s="103"/>
      <c r="G28" s="29"/>
      <c r="H28" s="30"/>
      <c r="I28" s="30"/>
      <c r="J28" s="30"/>
      <c r="K28" s="32" t="s">
        <v>43</v>
      </c>
      <c r="L28" s="65"/>
      <c r="N28" s="50" t="str">
        <f>IF(G28="P",1,"")</f>
        <v/>
      </c>
      <c r="O28" s="43" t="str">
        <f>IF(H28="P",2,"")</f>
        <v/>
      </c>
      <c r="P28" s="43" t="str">
        <f>IF(I28="P",3,"")</f>
        <v/>
      </c>
      <c r="Q28" s="43" t="str">
        <f>IF(J28="P",4,"")</f>
        <v/>
      </c>
      <c r="R28" s="51">
        <f>IF(K28="P",5,"")</f>
        <v>5</v>
      </c>
    </row>
    <row r="29" spans="2:18" s="54" customFormat="1" x14ac:dyDescent="0.25">
      <c r="C29" s="55"/>
      <c r="D29" s="55"/>
      <c r="E29" s="55"/>
      <c r="G29" s="66"/>
      <c r="H29" s="66"/>
      <c r="I29" s="66"/>
      <c r="J29" s="66"/>
      <c r="K29" s="66"/>
    </row>
    <row r="30" spans="2:18" ht="15.75" thickBot="1" x14ac:dyDescent="0.3">
      <c r="B30" s="39"/>
      <c r="C30" s="40"/>
      <c r="D30" s="40"/>
      <c r="E30" s="40"/>
      <c r="F30" s="39"/>
      <c r="L30" s="39"/>
    </row>
    <row r="31" spans="2:18" x14ac:dyDescent="0.25">
      <c r="B31" s="104" t="s">
        <v>38</v>
      </c>
      <c r="C31" s="105"/>
      <c r="D31" s="105"/>
      <c r="E31" s="57">
        <f>AVERAGE(N10:R13)</f>
        <v>4.5</v>
      </c>
      <c r="L31" s="42"/>
    </row>
    <row r="32" spans="2:18" x14ac:dyDescent="0.25">
      <c r="B32" s="95" t="s">
        <v>39</v>
      </c>
      <c r="C32" s="96"/>
      <c r="D32" s="96"/>
      <c r="E32" s="58">
        <f>AVERAGE(N15:R16)</f>
        <v>5</v>
      </c>
      <c r="L32" s="42"/>
    </row>
    <row r="33" spans="2:12" x14ac:dyDescent="0.25">
      <c r="B33" s="95" t="s">
        <v>40</v>
      </c>
      <c r="C33" s="96"/>
      <c r="D33" s="96"/>
      <c r="E33" s="58">
        <f>AVERAGE(N18:R21)</f>
        <v>4.75</v>
      </c>
      <c r="L33" s="42"/>
    </row>
    <row r="34" spans="2:12" x14ac:dyDescent="0.25">
      <c r="B34" s="95" t="s">
        <v>41</v>
      </c>
      <c r="C34" s="96"/>
      <c r="D34" s="96"/>
      <c r="E34" s="58">
        <f>AVERAGE(N23:R25)</f>
        <v>4.666666666666667</v>
      </c>
      <c r="L34" s="42"/>
    </row>
    <row r="35" spans="2:12" x14ac:dyDescent="0.25">
      <c r="B35" s="95" t="s">
        <v>42</v>
      </c>
      <c r="C35" s="96"/>
      <c r="D35" s="96"/>
      <c r="E35" s="58">
        <f>AVERAGE(N27:R28)</f>
        <v>5</v>
      </c>
      <c r="L35" s="42"/>
    </row>
    <row r="36" spans="2:12" ht="3.75" customHeight="1" x14ac:dyDescent="0.25">
      <c r="B36" s="97"/>
      <c r="C36" s="98"/>
      <c r="D36" s="98"/>
      <c r="E36" s="59"/>
      <c r="L36" s="42"/>
    </row>
    <row r="37" spans="2:12" ht="15.75" thickBot="1" x14ac:dyDescent="0.3">
      <c r="B37" s="99" t="s">
        <v>44</v>
      </c>
      <c r="C37" s="100"/>
      <c r="D37" s="100"/>
      <c r="E37" s="60">
        <f>AVERAGE(E31:E35)</f>
        <v>4.7833333333333332</v>
      </c>
      <c r="L37" s="42"/>
    </row>
    <row r="38" spans="2:12" x14ac:dyDescent="0.25">
      <c r="B38" s="42"/>
      <c r="C38" s="41"/>
      <c r="D38" s="41"/>
      <c r="E38" s="41"/>
      <c r="F38" s="42"/>
      <c r="L38" s="42"/>
    </row>
    <row r="39" spans="2:12" x14ac:dyDescent="0.25">
      <c r="B39" s="42"/>
      <c r="C39" s="41"/>
      <c r="D39" s="41"/>
      <c r="E39" s="41"/>
      <c r="F39" s="42"/>
      <c r="L39" s="42"/>
    </row>
    <row r="40" spans="2:12" x14ac:dyDescent="0.25">
      <c r="B40" s="42"/>
      <c r="C40" s="41"/>
      <c r="D40" s="41"/>
      <c r="E40" s="41"/>
      <c r="F40" s="42"/>
      <c r="L40" s="42"/>
    </row>
    <row r="41" spans="2:12" x14ac:dyDescent="0.25">
      <c r="B41" s="42"/>
      <c r="C41" s="41"/>
      <c r="D41" s="41"/>
      <c r="E41" s="41"/>
      <c r="F41" s="42"/>
      <c r="L41" s="42"/>
    </row>
    <row r="42" spans="2:12" x14ac:dyDescent="0.25">
      <c r="B42" s="42"/>
      <c r="C42" s="41"/>
      <c r="D42" s="41"/>
      <c r="E42" s="41"/>
      <c r="F42" s="42"/>
      <c r="L42" s="42"/>
    </row>
    <row r="43" spans="2:12" x14ac:dyDescent="0.25">
      <c r="B43" s="42"/>
      <c r="C43" s="41"/>
      <c r="D43" s="41"/>
      <c r="E43" s="41"/>
      <c r="F43" s="42"/>
      <c r="L43" s="42"/>
    </row>
    <row r="44" spans="2:12" x14ac:dyDescent="0.25">
      <c r="B44" s="52"/>
      <c r="C44" s="53"/>
      <c r="D44" s="53"/>
      <c r="E44" s="53"/>
      <c r="F44" s="52"/>
      <c r="L44" s="52"/>
    </row>
    <row r="45" spans="2:12" x14ac:dyDescent="0.25">
      <c r="B45" s="52"/>
      <c r="C45" s="53"/>
      <c r="D45" s="53"/>
      <c r="E45" s="53"/>
      <c r="F45" s="52"/>
      <c r="L45" s="52"/>
    </row>
    <row r="46" spans="2:12" x14ac:dyDescent="0.25">
      <c r="B46" s="52"/>
      <c r="C46" s="53"/>
      <c r="D46" s="53"/>
      <c r="E46" s="53"/>
      <c r="F46" s="52"/>
      <c r="L46" s="52"/>
    </row>
    <row r="47" spans="2:12" x14ac:dyDescent="0.25">
      <c r="B47" s="52"/>
      <c r="C47" s="53"/>
      <c r="D47" s="53"/>
      <c r="E47" s="53"/>
      <c r="F47" s="52"/>
      <c r="L47" s="52"/>
    </row>
    <row r="48" spans="2:12" x14ac:dyDescent="0.25">
      <c r="B48" s="52"/>
      <c r="C48" s="53"/>
      <c r="D48" s="53"/>
      <c r="E48" s="53"/>
      <c r="F48" s="52"/>
      <c r="L48" s="52"/>
    </row>
    <row r="49" spans="2:12" x14ac:dyDescent="0.25">
      <c r="B49" s="52"/>
      <c r="C49" s="53"/>
      <c r="D49" s="53"/>
      <c r="E49" s="53"/>
      <c r="F49" s="52"/>
      <c r="L49" s="52"/>
    </row>
    <row r="50" spans="2:12" x14ac:dyDescent="0.25">
      <c r="B50" s="52"/>
      <c r="C50" s="53"/>
      <c r="D50" s="53"/>
      <c r="E50" s="53"/>
      <c r="F50" s="52"/>
      <c r="G50" s="41"/>
      <c r="H50" s="41"/>
      <c r="I50" s="41"/>
      <c r="J50" s="41"/>
      <c r="K50" s="41"/>
      <c r="L50" s="52"/>
    </row>
    <row r="51" spans="2:12" x14ac:dyDescent="0.25">
      <c r="G51" s="41"/>
      <c r="H51" s="41"/>
      <c r="I51" s="41"/>
      <c r="J51" s="41"/>
      <c r="K51" s="41"/>
    </row>
    <row r="52" spans="2:12" x14ac:dyDescent="0.25">
      <c r="G52" s="41"/>
      <c r="H52" s="41"/>
      <c r="I52" s="41"/>
      <c r="J52" s="41"/>
      <c r="K52" s="41"/>
    </row>
    <row r="53" spans="2:12" x14ac:dyDescent="0.25">
      <c r="G53" s="41"/>
      <c r="H53" s="41"/>
      <c r="I53" s="41"/>
      <c r="J53" s="41"/>
      <c r="K53" s="41"/>
    </row>
    <row r="54" spans="2:12" x14ac:dyDescent="0.25">
      <c r="G54" s="41"/>
      <c r="H54" s="41"/>
      <c r="I54" s="41"/>
      <c r="J54" s="41"/>
      <c r="K54" s="41"/>
    </row>
    <row r="55" spans="2:12" x14ac:dyDescent="0.25">
      <c r="G55" s="41"/>
      <c r="H55" s="41"/>
      <c r="I55" s="41"/>
      <c r="J55" s="41"/>
      <c r="K55" s="41"/>
    </row>
    <row r="56" spans="2:12" x14ac:dyDescent="0.25">
      <c r="G56" s="41"/>
      <c r="H56" s="41"/>
      <c r="I56" s="41"/>
      <c r="J56" s="41"/>
      <c r="K56" s="41"/>
    </row>
    <row r="57" spans="2:12" x14ac:dyDescent="0.25">
      <c r="G57" s="41"/>
      <c r="H57" s="41"/>
      <c r="I57" s="41"/>
      <c r="J57" s="41"/>
      <c r="K57" s="41"/>
    </row>
    <row r="58" spans="2:12" x14ac:dyDescent="0.25">
      <c r="G58" s="41"/>
      <c r="H58" s="41"/>
      <c r="I58" s="41"/>
      <c r="J58" s="41"/>
      <c r="K58" s="41"/>
    </row>
    <row r="59" spans="2:12" x14ac:dyDescent="0.25">
      <c r="G59" s="41"/>
      <c r="H59" s="41"/>
      <c r="I59" s="41"/>
      <c r="J59" s="41"/>
      <c r="K59" s="41"/>
    </row>
    <row r="60" spans="2:12" x14ac:dyDescent="0.25">
      <c r="G60" s="41"/>
      <c r="H60" s="41"/>
      <c r="I60" s="41"/>
      <c r="J60" s="41"/>
      <c r="K60" s="41"/>
    </row>
    <row r="61" spans="2:12" x14ac:dyDescent="0.25">
      <c r="G61" s="41"/>
      <c r="H61" s="41"/>
      <c r="I61" s="41"/>
      <c r="J61" s="41"/>
      <c r="K61" s="41"/>
    </row>
    <row r="62" spans="2:12" x14ac:dyDescent="0.25">
      <c r="G62" s="41"/>
      <c r="H62" s="41"/>
      <c r="I62" s="41"/>
      <c r="J62" s="41"/>
      <c r="K62" s="41"/>
    </row>
    <row r="63" spans="2:12" x14ac:dyDescent="0.25">
      <c r="G63" s="41"/>
      <c r="H63" s="41"/>
      <c r="I63" s="41"/>
      <c r="J63" s="41"/>
      <c r="K63" s="41"/>
    </row>
    <row r="64" spans="2:12" x14ac:dyDescent="0.25">
      <c r="G64" s="41"/>
      <c r="H64" s="41"/>
      <c r="I64" s="41"/>
      <c r="J64" s="41"/>
      <c r="K64" s="41"/>
    </row>
    <row r="65" spans="7:11" x14ac:dyDescent="0.25">
      <c r="G65" s="41"/>
      <c r="H65" s="41"/>
      <c r="I65" s="41"/>
      <c r="J65" s="41"/>
      <c r="K65" s="41"/>
    </row>
    <row r="66" spans="7:11" x14ac:dyDescent="0.25">
      <c r="G66" s="41"/>
      <c r="H66" s="41"/>
      <c r="I66" s="41"/>
      <c r="J66" s="41"/>
      <c r="K66" s="41"/>
    </row>
    <row r="67" spans="7:11" x14ac:dyDescent="0.25">
      <c r="G67" s="41"/>
      <c r="H67" s="41"/>
      <c r="I67" s="41"/>
      <c r="J67" s="41"/>
      <c r="K67" s="41"/>
    </row>
    <row r="68" spans="7:11" x14ac:dyDescent="0.25">
      <c r="G68" s="41"/>
      <c r="H68" s="41"/>
      <c r="I68" s="41"/>
      <c r="J68" s="41"/>
      <c r="K68" s="41"/>
    </row>
    <row r="69" spans="7:11" x14ac:dyDescent="0.25">
      <c r="G69" s="41"/>
      <c r="H69" s="41"/>
      <c r="I69" s="41"/>
      <c r="J69" s="41"/>
      <c r="K69" s="41"/>
    </row>
    <row r="70" spans="7:11" x14ac:dyDescent="0.25">
      <c r="G70" s="41"/>
      <c r="H70" s="41"/>
      <c r="I70" s="41"/>
      <c r="J70" s="41"/>
      <c r="K70" s="41"/>
    </row>
    <row r="71" spans="7:11" x14ac:dyDescent="0.25">
      <c r="G71" s="41"/>
      <c r="H71" s="41"/>
      <c r="I71" s="41"/>
      <c r="J71" s="41"/>
      <c r="K71" s="41"/>
    </row>
    <row r="72" spans="7:11" x14ac:dyDescent="0.25">
      <c r="G72" s="41"/>
      <c r="H72" s="41"/>
      <c r="I72" s="41"/>
      <c r="J72" s="41"/>
      <c r="K72" s="41"/>
    </row>
    <row r="73" spans="7:11" x14ac:dyDescent="0.25">
      <c r="G73" s="41"/>
      <c r="H73" s="41"/>
      <c r="I73" s="41"/>
      <c r="J73" s="41"/>
      <c r="K73" s="41"/>
    </row>
    <row r="74" spans="7:11" x14ac:dyDescent="0.25">
      <c r="G74" s="41"/>
      <c r="H74" s="41"/>
      <c r="I74" s="41"/>
      <c r="J74" s="41"/>
      <c r="K74" s="41"/>
    </row>
    <row r="75" spans="7:11" x14ac:dyDescent="0.25">
      <c r="G75" s="41"/>
      <c r="H75" s="41"/>
      <c r="I75" s="41"/>
      <c r="J75" s="41"/>
      <c r="K75" s="41"/>
    </row>
    <row r="76" spans="7:11" x14ac:dyDescent="0.25">
      <c r="G76" s="41"/>
      <c r="H76" s="41"/>
      <c r="I76" s="41"/>
      <c r="J76" s="41"/>
      <c r="K76" s="41"/>
    </row>
    <row r="77" spans="7:11" x14ac:dyDescent="0.25">
      <c r="G77" s="41"/>
      <c r="H77" s="41"/>
      <c r="I77" s="41"/>
      <c r="J77" s="41"/>
      <c r="K77" s="41"/>
    </row>
    <row r="78" spans="7:11" x14ac:dyDescent="0.25">
      <c r="G78" s="41"/>
      <c r="H78" s="41"/>
      <c r="I78" s="41"/>
      <c r="J78" s="41"/>
      <c r="K78" s="41"/>
    </row>
    <row r="79" spans="7:11" x14ac:dyDescent="0.25">
      <c r="G79" s="41"/>
      <c r="H79" s="41"/>
      <c r="I79" s="41"/>
      <c r="J79" s="41"/>
      <c r="K79" s="41"/>
    </row>
    <row r="80" spans="7:11" x14ac:dyDescent="0.25">
      <c r="G80" s="41"/>
      <c r="H80" s="41"/>
      <c r="I80" s="41"/>
      <c r="J80" s="41"/>
      <c r="K80" s="41"/>
    </row>
    <row r="81" spans="7:11" x14ac:dyDescent="0.25">
      <c r="G81" s="41"/>
      <c r="H81" s="41"/>
      <c r="I81" s="41"/>
      <c r="J81" s="41"/>
      <c r="K81" s="41"/>
    </row>
    <row r="82" spans="7:11" x14ac:dyDescent="0.25">
      <c r="G82" s="41"/>
      <c r="H82" s="41"/>
      <c r="I82" s="41"/>
      <c r="J82" s="41"/>
      <c r="K82" s="41"/>
    </row>
    <row r="83" spans="7:11" x14ac:dyDescent="0.25">
      <c r="G83" s="41"/>
      <c r="H83" s="41"/>
      <c r="I83" s="41"/>
      <c r="J83" s="41"/>
      <c r="K83" s="41"/>
    </row>
    <row r="84" spans="7:11" x14ac:dyDescent="0.25">
      <c r="G84" s="41"/>
      <c r="H84" s="41"/>
      <c r="I84" s="41"/>
      <c r="J84" s="41"/>
      <c r="K84" s="41"/>
    </row>
    <row r="85" spans="7:11" x14ac:dyDescent="0.25">
      <c r="G85" s="41"/>
      <c r="H85" s="41"/>
      <c r="I85" s="41"/>
      <c r="J85" s="41"/>
      <c r="K85" s="41"/>
    </row>
    <row r="86" spans="7:11" x14ac:dyDescent="0.25">
      <c r="G86" s="41"/>
      <c r="H86" s="41"/>
      <c r="I86" s="41"/>
      <c r="J86" s="41"/>
      <c r="K86" s="41"/>
    </row>
    <row r="87" spans="7:11" x14ac:dyDescent="0.25">
      <c r="G87" s="41"/>
      <c r="H87" s="41"/>
      <c r="I87" s="41"/>
      <c r="J87" s="41"/>
      <c r="K87" s="41"/>
    </row>
    <row r="88" spans="7:11" x14ac:dyDescent="0.25">
      <c r="G88" s="41"/>
      <c r="H88" s="41"/>
      <c r="I88" s="41"/>
      <c r="J88" s="41"/>
      <c r="K88" s="41"/>
    </row>
    <row r="89" spans="7:11" x14ac:dyDescent="0.25">
      <c r="G89" s="41"/>
      <c r="H89" s="41"/>
      <c r="I89" s="41"/>
      <c r="J89" s="41"/>
      <c r="K89" s="41"/>
    </row>
    <row r="90" spans="7:11" x14ac:dyDescent="0.25">
      <c r="G90" s="41"/>
      <c r="H90" s="41"/>
      <c r="I90" s="41"/>
      <c r="J90" s="41"/>
      <c r="K90" s="41"/>
    </row>
    <row r="91" spans="7:11" x14ac:dyDescent="0.25">
      <c r="G91" s="41"/>
      <c r="H91" s="41"/>
      <c r="I91" s="41"/>
      <c r="J91" s="41"/>
      <c r="K91" s="41"/>
    </row>
    <row r="92" spans="7:11" x14ac:dyDescent="0.25">
      <c r="G92" s="41"/>
      <c r="H92" s="41"/>
      <c r="I92" s="41"/>
      <c r="J92" s="41"/>
      <c r="K92" s="41"/>
    </row>
    <row r="93" spans="7:11" x14ac:dyDescent="0.25">
      <c r="G93" s="41"/>
      <c r="H93" s="41"/>
      <c r="I93" s="41"/>
      <c r="J93" s="41"/>
      <c r="K93" s="41"/>
    </row>
    <row r="94" spans="7:11" x14ac:dyDescent="0.25">
      <c r="G94" s="41"/>
      <c r="H94" s="41"/>
      <c r="I94" s="41"/>
      <c r="J94" s="41"/>
      <c r="K94" s="41"/>
    </row>
    <row r="95" spans="7:11" x14ac:dyDescent="0.25">
      <c r="G95" s="41"/>
      <c r="H95" s="41"/>
      <c r="I95" s="41"/>
      <c r="J95" s="41"/>
      <c r="K95" s="41"/>
    </row>
    <row r="96" spans="7:11" x14ac:dyDescent="0.25">
      <c r="G96" s="41"/>
      <c r="H96" s="41"/>
      <c r="I96" s="41"/>
      <c r="J96" s="41"/>
      <c r="K96" s="41"/>
    </row>
    <row r="97" spans="7:11" x14ac:dyDescent="0.25">
      <c r="G97" s="41"/>
      <c r="H97" s="41"/>
      <c r="I97" s="41"/>
      <c r="J97" s="41"/>
      <c r="K97" s="41"/>
    </row>
    <row r="98" spans="7:11" x14ac:dyDescent="0.25">
      <c r="G98" s="41"/>
      <c r="H98" s="41"/>
      <c r="I98" s="41"/>
      <c r="J98" s="41"/>
      <c r="K98" s="41"/>
    </row>
    <row r="99" spans="7:11" x14ac:dyDescent="0.25">
      <c r="G99" s="41"/>
      <c r="H99" s="41"/>
      <c r="I99" s="41"/>
      <c r="J99" s="41"/>
      <c r="K99" s="41"/>
    </row>
    <row r="100" spans="7:11" x14ac:dyDescent="0.25">
      <c r="G100" s="41"/>
      <c r="H100" s="41"/>
      <c r="I100" s="41"/>
      <c r="J100" s="41"/>
      <c r="K100" s="41"/>
    </row>
    <row r="101" spans="7:11" x14ac:dyDescent="0.25">
      <c r="G101" s="41"/>
      <c r="H101" s="41"/>
      <c r="I101" s="41"/>
      <c r="J101" s="41"/>
      <c r="K101" s="41"/>
    </row>
    <row r="102" spans="7:11" x14ac:dyDescent="0.25">
      <c r="G102" s="41"/>
      <c r="H102" s="41"/>
      <c r="I102" s="41"/>
      <c r="J102" s="41"/>
      <c r="K102" s="41"/>
    </row>
    <row r="103" spans="7:11" x14ac:dyDescent="0.25">
      <c r="G103" s="41"/>
      <c r="H103" s="41"/>
      <c r="I103" s="41"/>
      <c r="J103" s="41"/>
      <c r="K103" s="41"/>
    </row>
    <row r="104" spans="7:11" x14ac:dyDescent="0.25">
      <c r="G104" s="41"/>
      <c r="H104" s="41"/>
      <c r="I104" s="41"/>
      <c r="J104" s="41"/>
      <c r="K104" s="41"/>
    </row>
    <row r="105" spans="7:11" x14ac:dyDescent="0.25">
      <c r="G105" s="41"/>
      <c r="H105" s="41"/>
      <c r="I105" s="41"/>
      <c r="J105" s="41"/>
      <c r="K105" s="41"/>
    </row>
    <row r="106" spans="7:11" x14ac:dyDescent="0.25">
      <c r="G106" s="41"/>
      <c r="H106" s="41"/>
      <c r="I106" s="41"/>
      <c r="J106" s="41"/>
      <c r="K106" s="41"/>
    </row>
    <row r="107" spans="7:11" x14ac:dyDescent="0.25">
      <c r="G107" s="41"/>
      <c r="H107" s="41"/>
      <c r="I107" s="41"/>
      <c r="J107" s="41"/>
      <c r="K107" s="41"/>
    </row>
    <row r="108" spans="7:11" x14ac:dyDescent="0.25">
      <c r="G108" s="41"/>
      <c r="H108" s="41"/>
      <c r="I108" s="41"/>
      <c r="J108" s="41"/>
      <c r="K108" s="41"/>
    </row>
    <row r="109" spans="7:11" x14ac:dyDescent="0.25">
      <c r="G109" s="41"/>
      <c r="H109" s="41"/>
      <c r="I109" s="41"/>
      <c r="J109" s="41"/>
      <c r="K109" s="41"/>
    </row>
    <row r="110" spans="7:11" x14ac:dyDescent="0.25">
      <c r="G110" s="41"/>
      <c r="H110" s="41"/>
      <c r="I110" s="41"/>
      <c r="J110" s="41"/>
      <c r="K110" s="41"/>
    </row>
    <row r="111" spans="7:11" x14ac:dyDescent="0.25">
      <c r="G111" s="41"/>
      <c r="H111" s="41"/>
      <c r="I111" s="41"/>
      <c r="J111" s="41"/>
      <c r="K111" s="41"/>
    </row>
    <row r="112" spans="7:11" x14ac:dyDescent="0.25">
      <c r="G112" s="41"/>
      <c r="H112" s="41"/>
      <c r="I112" s="41"/>
      <c r="J112" s="41"/>
      <c r="K112" s="41"/>
    </row>
    <row r="113" spans="7:11" x14ac:dyDescent="0.25">
      <c r="G113" s="41"/>
      <c r="H113" s="41"/>
      <c r="I113" s="41"/>
      <c r="J113" s="41"/>
      <c r="K113" s="41"/>
    </row>
    <row r="114" spans="7:11" x14ac:dyDescent="0.25">
      <c r="G114" s="41"/>
      <c r="H114" s="41"/>
      <c r="I114" s="41"/>
      <c r="J114" s="41"/>
      <c r="K114" s="41"/>
    </row>
    <row r="115" spans="7:11" x14ac:dyDescent="0.25">
      <c r="G115" s="41"/>
      <c r="H115" s="41"/>
      <c r="I115" s="41"/>
      <c r="J115" s="41"/>
      <c r="K115" s="41"/>
    </row>
    <row r="116" spans="7:11" x14ac:dyDescent="0.25">
      <c r="G116" s="41"/>
      <c r="H116" s="41"/>
      <c r="I116" s="41"/>
      <c r="J116" s="41"/>
      <c r="K116" s="41"/>
    </row>
    <row r="117" spans="7:11" x14ac:dyDescent="0.25">
      <c r="G117" s="41"/>
      <c r="H117" s="41"/>
      <c r="I117" s="41"/>
      <c r="J117" s="41"/>
      <c r="K117" s="41"/>
    </row>
    <row r="118" spans="7:11" x14ac:dyDescent="0.25">
      <c r="G118" s="41"/>
      <c r="H118" s="41"/>
      <c r="I118" s="41"/>
      <c r="J118" s="41"/>
      <c r="K118" s="41"/>
    </row>
    <row r="119" spans="7:11" x14ac:dyDescent="0.25">
      <c r="G119" s="41"/>
      <c r="H119" s="41"/>
      <c r="I119" s="41"/>
      <c r="J119" s="41"/>
      <c r="K119" s="41"/>
    </row>
    <row r="120" spans="7:11" x14ac:dyDescent="0.25">
      <c r="G120" s="41"/>
      <c r="H120" s="41"/>
      <c r="I120" s="41"/>
      <c r="J120" s="41"/>
      <c r="K120" s="41"/>
    </row>
    <row r="121" spans="7:11" x14ac:dyDescent="0.25">
      <c r="G121" s="41"/>
      <c r="H121" s="41"/>
      <c r="I121" s="41"/>
      <c r="J121" s="41"/>
      <c r="K121" s="41"/>
    </row>
    <row r="122" spans="7:11" x14ac:dyDescent="0.25">
      <c r="G122" s="41"/>
      <c r="H122" s="41"/>
      <c r="I122" s="41"/>
      <c r="J122" s="41"/>
      <c r="K122" s="41"/>
    </row>
    <row r="123" spans="7:11" x14ac:dyDescent="0.25">
      <c r="G123" s="41"/>
      <c r="H123" s="41"/>
      <c r="I123" s="41"/>
      <c r="J123" s="41"/>
      <c r="K123" s="41"/>
    </row>
    <row r="124" spans="7:11" x14ac:dyDescent="0.25">
      <c r="G124" s="41"/>
      <c r="H124" s="41"/>
      <c r="I124" s="41"/>
      <c r="J124" s="41"/>
      <c r="K124" s="41"/>
    </row>
    <row r="125" spans="7:11" x14ac:dyDescent="0.25">
      <c r="G125" s="41"/>
      <c r="H125" s="41"/>
      <c r="I125" s="41"/>
      <c r="J125" s="41"/>
      <c r="K125" s="41"/>
    </row>
    <row r="126" spans="7:11" x14ac:dyDescent="0.25">
      <c r="G126" s="41"/>
      <c r="H126" s="41"/>
      <c r="I126" s="41"/>
      <c r="J126" s="41"/>
      <c r="K126" s="41"/>
    </row>
    <row r="127" spans="7:11" x14ac:dyDescent="0.25">
      <c r="G127" s="41"/>
      <c r="H127" s="41"/>
      <c r="I127" s="41"/>
      <c r="J127" s="41"/>
      <c r="K127" s="41"/>
    </row>
    <row r="128" spans="7:11" x14ac:dyDescent="0.25">
      <c r="G128" s="41"/>
      <c r="H128" s="41"/>
      <c r="I128" s="41"/>
      <c r="J128" s="41"/>
      <c r="K128" s="41"/>
    </row>
    <row r="129" spans="7:11" x14ac:dyDescent="0.25">
      <c r="G129" s="41"/>
      <c r="H129" s="41"/>
      <c r="I129" s="41"/>
      <c r="J129" s="41"/>
      <c r="K129" s="41"/>
    </row>
    <row r="130" spans="7:11" x14ac:dyDescent="0.25">
      <c r="G130" s="41"/>
      <c r="H130" s="41"/>
      <c r="I130" s="41"/>
      <c r="J130" s="41"/>
      <c r="K130" s="41"/>
    </row>
    <row r="131" spans="7:11" x14ac:dyDescent="0.25">
      <c r="G131" s="41"/>
      <c r="H131" s="41"/>
      <c r="I131" s="41"/>
      <c r="J131" s="41"/>
      <c r="K131" s="41"/>
    </row>
    <row r="132" spans="7:11" x14ac:dyDescent="0.25">
      <c r="G132" s="41"/>
      <c r="H132" s="41"/>
      <c r="I132" s="41"/>
      <c r="J132" s="41"/>
      <c r="K132" s="41"/>
    </row>
    <row r="133" spans="7:11" x14ac:dyDescent="0.25">
      <c r="G133" s="41"/>
      <c r="H133" s="41"/>
      <c r="I133" s="41"/>
      <c r="J133" s="41"/>
      <c r="K133" s="41"/>
    </row>
    <row r="134" spans="7:11" x14ac:dyDescent="0.25">
      <c r="G134" s="41"/>
      <c r="H134" s="41"/>
      <c r="I134" s="41"/>
      <c r="J134" s="41"/>
      <c r="K134" s="41"/>
    </row>
    <row r="135" spans="7:11" x14ac:dyDescent="0.25">
      <c r="G135" s="41"/>
      <c r="H135" s="41"/>
      <c r="I135" s="41"/>
      <c r="J135" s="41"/>
      <c r="K135" s="41"/>
    </row>
    <row r="136" spans="7:11" x14ac:dyDescent="0.25">
      <c r="G136" s="41"/>
      <c r="H136" s="41"/>
      <c r="I136" s="41"/>
      <c r="J136" s="41"/>
      <c r="K136" s="41"/>
    </row>
    <row r="137" spans="7:11" x14ac:dyDescent="0.25">
      <c r="G137" s="41"/>
      <c r="H137" s="41"/>
      <c r="I137" s="41"/>
      <c r="J137" s="41"/>
      <c r="K137" s="41"/>
    </row>
    <row r="138" spans="7:11" x14ac:dyDescent="0.25">
      <c r="G138" s="41"/>
      <c r="H138" s="41"/>
      <c r="I138" s="41"/>
      <c r="J138" s="41"/>
      <c r="K138" s="41"/>
    </row>
    <row r="139" spans="7:11" x14ac:dyDescent="0.25">
      <c r="G139" s="41"/>
      <c r="H139" s="41"/>
      <c r="I139" s="41"/>
      <c r="J139" s="41"/>
      <c r="K139" s="41"/>
    </row>
    <row r="140" spans="7:11" x14ac:dyDescent="0.25">
      <c r="G140" s="41"/>
      <c r="H140" s="41"/>
      <c r="I140" s="41"/>
      <c r="J140" s="41"/>
      <c r="K140" s="41"/>
    </row>
    <row r="141" spans="7:11" x14ac:dyDescent="0.25">
      <c r="G141" s="41"/>
      <c r="H141" s="41"/>
      <c r="I141" s="41"/>
      <c r="J141" s="41"/>
      <c r="K141" s="41"/>
    </row>
    <row r="142" spans="7:11" x14ac:dyDescent="0.25">
      <c r="G142" s="41"/>
      <c r="H142" s="41"/>
      <c r="I142" s="41"/>
      <c r="J142" s="41"/>
      <c r="K142" s="41"/>
    </row>
    <row r="143" spans="7:11" x14ac:dyDescent="0.25">
      <c r="G143" s="41"/>
      <c r="H143" s="41"/>
      <c r="I143" s="41"/>
      <c r="J143" s="41"/>
      <c r="K143" s="41"/>
    </row>
    <row r="144" spans="7:11" x14ac:dyDescent="0.25">
      <c r="G144" s="41"/>
      <c r="H144" s="41"/>
      <c r="I144" s="41"/>
      <c r="J144" s="41"/>
      <c r="K144" s="41"/>
    </row>
    <row r="145" spans="7:11" x14ac:dyDescent="0.25">
      <c r="G145" s="41"/>
      <c r="H145" s="41"/>
      <c r="I145" s="41"/>
      <c r="J145" s="41"/>
      <c r="K145" s="41"/>
    </row>
  </sheetData>
  <mergeCells count="39">
    <mergeCell ref="B35:D35"/>
    <mergeCell ref="B36:D36"/>
    <mergeCell ref="B37:D37"/>
    <mergeCell ref="D22:F22"/>
    <mergeCell ref="D23:F23"/>
    <mergeCell ref="D24:F24"/>
    <mergeCell ref="D25:F25"/>
    <mergeCell ref="D26:F26"/>
    <mergeCell ref="B32:D32"/>
    <mergeCell ref="B33:D33"/>
    <mergeCell ref="B34:D34"/>
    <mergeCell ref="D28:F28"/>
    <mergeCell ref="B31:D31"/>
    <mergeCell ref="D27:F27"/>
    <mergeCell ref="A1:L1"/>
    <mergeCell ref="D14:F14"/>
    <mergeCell ref="D15:F15"/>
    <mergeCell ref="D16:F16"/>
    <mergeCell ref="D17:F17"/>
    <mergeCell ref="D19:F19"/>
    <mergeCell ref="D20:F20"/>
    <mergeCell ref="D21:F21"/>
    <mergeCell ref="D9:F9"/>
    <mergeCell ref="D10:F10"/>
    <mergeCell ref="D11:F11"/>
    <mergeCell ref="D12:F12"/>
    <mergeCell ref="D13:F13"/>
    <mergeCell ref="D18:F18"/>
    <mergeCell ref="G29:K29"/>
    <mergeCell ref="N9:R9"/>
    <mergeCell ref="G3:K3"/>
    <mergeCell ref="G2:K2"/>
    <mergeCell ref="G4:K4"/>
    <mergeCell ref="G5:H5"/>
    <mergeCell ref="J5:K5"/>
    <mergeCell ref="N26:R26"/>
    <mergeCell ref="N22:R22"/>
    <mergeCell ref="N17:R17"/>
    <mergeCell ref="N14:R14"/>
  </mergeCells>
  <pageMargins left="0.7" right="0.7" top="0.75" bottom="0.75" header="0.3" footer="0.3"/>
  <pageSetup paperSize="125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usability testing</vt:lpstr>
    </vt:vector>
  </TitlesOfParts>
  <Company>Christchurch Polytechnic Institute of Technology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jet0397</dc:creator>
  <cp:lastModifiedBy>bik0049</cp:lastModifiedBy>
  <dcterms:created xsi:type="dcterms:W3CDTF">2015-09-16T00:12:28Z</dcterms:created>
  <dcterms:modified xsi:type="dcterms:W3CDTF">2019-06-16T07:13:32Z</dcterms:modified>
</cp:coreProperties>
</file>